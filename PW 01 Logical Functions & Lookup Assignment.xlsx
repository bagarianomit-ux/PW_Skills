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mit\OneDrive\Desktop\"/>
    </mc:Choice>
  </mc:AlternateContent>
  <xr:revisionPtr revIDLastSave="0" documentId="8_{613BA9EC-1A68-456B-9262-825762448EBA}" xr6:coauthVersionLast="47" xr6:coauthVersionMax="47" xr10:uidLastSave="{00000000-0000-0000-0000-000000000000}"/>
  <bookViews>
    <workbookView xWindow="-110" yWindow="-110" windowWidth="19420" windowHeight="12220" xr2:uid="{DF56A4AC-B2FF-4F56-A218-EDCF450CDD9D}"/>
  </bookViews>
  <sheets>
    <sheet name="IF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E83" i="1"/>
  <c r="E94" i="1"/>
  <c r="F38" i="1"/>
  <c r="D73" i="1"/>
  <c r="C30" i="1"/>
  <c r="C29" i="1"/>
  <c r="C31" i="1"/>
  <c r="C32" i="1"/>
  <c r="C28" i="1"/>
  <c r="D18" i="1"/>
  <c r="D19" i="1"/>
  <c r="D20" i="1"/>
  <c r="D21" i="1"/>
  <c r="D74" i="1"/>
  <c r="D75" i="1"/>
  <c r="C8" i="1" l="1"/>
  <c r="C9" i="1"/>
  <c r="C10" i="1"/>
  <c r="C11" i="1"/>
  <c r="C7" i="1"/>
</calcChain>
</file>

<file path=xl/sharedStrings.xml><?xml version="1.0" encoding="utf-8"?>
<sst xmlns="http://schemas.openxmlformats.org/spreadsheetml/2006/main" count="91" uniqueCount="63">
  <si>
    <t>Student Name</t>
  </si>
  <si>
    <t>Marks</t>
  </si>
  <si>
    <t>Riya</t>
  </si>
  <si>
    <t>siya</t>
  </si>
  <si>
    <t>Raju</t>
  </si>
  <si>
    <t>Rahul</t>
  </si>
  <si>
    <t>Ram</t>
  </si>
  <si>
    <t>Result</t>
  </si>
  <si>
    <t>Employee</t>
  </si>
  <si>
    <t>Sales</t>
  </si>
  <si>
    <t>Attendance</t>
  </si>
  <si>
    <t>Arjun</t>
  </si>
  <si>
    <t>Simran</t>
  </si>
  <si>
    <t>Rohit</t>
  </si>
  <si>
    <t>Anjali</t>
  </si>
  <si>
    <t>Qualified for bonus</t>
  </si>
  <si>
    <t>Raj</t>
  </si>
  <si>
    <t>Neha</t>
  </si>
  <si>
    <t>Vivek</t>
  </si>
  <si>
    <t>Rani</t>
  </si>
  <si>
    <t>Sneha</t>
  </si>
  <si>
    <t>EmpID</t>
  </si>
  <si>
    <t>Name</t>
  </si>
  <si>
    <t>Department</t>
  </si>
  <si>
    <t>IT</t>
  </si>
  <si>
    <t>HR</t>
  </si>
  <si>
    <t>Finance</t>
  </si>
  <si>
    <t>Roshni</t>
  </si>
  <si>
    <t>Sejal</t>
  </si>
  <si>
    <t>E101</t>
  </si>
  <si>
    <t>E102</t>
  </si>
  <si>
    <t>E103</t>
  </si>
  <si>
    <t>E104</t>
  </si>
  <si>
    <t>Sales Amount</t>
  </si>
  <si>
    <t>Commission Rate</t>
  </si>
  <si>
    <t>Employee Name</t>
  </si>
  <si>
    <t>Leaves Taken</t>
  </si>
  <si>
    <t>Leaves Allowed</t>
  </si>
  <si>
    <t>Status</t>
  </si>
  <si>
    <t>Alex</t>
  </si>
  <si>
    <t>Bob</t>
  </si>
  <si>
    <t>Anna</t>
  </si>
  <si>
    <t>Salary</t>
  </si>
  <si>
    <t>E105</t>
  </si>
  <si>
    <t>E106</t>
  </si>
  <si>
    <t>E303</t>
  </si>
  <si>
    <t>E301</t>
  </si>
  <si>
    <t>Comission Applicable</t>
  </si>
  <si>
    <t>EmpId</t>
  </si>
  <si>
    <t>Answer:</t>
  </si>
  <si>
    <t xml:space="preserve"> If a salesperson achieves sales of ₹45,000, use the VLOOKUP function to determine the commission rate 
applicable.</t>
  </si>
  <si>
    <r>
      <t xml:space="preserve">Answer </t>
    </r>
    <r>
      <rPr>
        <b/>
        <sz val="12"/>
        <color theme="1"/>
        <rFont val="Aptos Narrow"/>
        <family val="2"/>
      </rPr>
      <t xml:space="preserve">→
</t>
    </r>
  </si>
  <si>
    <r>
      <rPr>
        <b/>
        <sz val="11"/>
        <color theme="1"/>
        <rFont val="Aptos Narrow"/>
        <family val="2"/>
        <scheme val="minor"/>
      </rPr>
      <t>Q1.</t>
    </r>
    <r>
      <rPr>
        <sz val="11"/>
        <color theme="1"/>
        <rFont val="Aptos Narrow"/>
        <family val="2"/>
        <scheme val="minor"/>
      </rPr>
      <t xml:space="preserve">  Write a formula to check if the marks in cell  are greater than or equal to 40. If yes, return B2 "Fail".</t>
    </r>
  </si>
  <si>
    <r>
      <rPr>
        <b/>
        <sz val="11"/>
        <color theme="1"/>
        <rFont val="Aptos Narrow"/>
        <family val="2"/>
        <scheme val="minor"/>
      </rPr>
      <t>Q3.</t>
    </r>
    <r>
      <rPr>
        <sz val="11"/>
        <color theme="1"/>
        <rFont val="Aptos Narrow"/>
        <family val="2"/>
        <scheme val="minor"/>
      </rPr>
      <t xml:space="preserve">  Write a nested IF formula: 
           If marks in  B2 are ≥ 90 → "A" are , ≥ 75 → "B" , ≥ 50 → "C" , otherwis "Fail".</t>
    </r>
  </si>
  <si>
    <r>
      <rPr>
        <b/>
        <sz val="11"/>
        <color theme="1"/>
        <rFont val="Aptos Narrow"/>
        <family val="2"/>
        <scheme val="minor"/>
      </rPr>
      <t>Q4</t>
    </r>
    <r>
      <rPr>
        <sz val="11"/>
        <color theme="1"/>
        <rFont val="Aptos Narrow"/>
        <family val="2"/>
        <scheme val="minor"/>
      </rPr>
      <t xml:space="preserve">.  Find the </t>
    </r>
    <r>
      <rPr>
        <b/>
        <sz val="11"/>
        <color theme="1"/>
        <rFont val="Aptos Narrow"/>
        <family val="2"/>
        <scheme val="minor"/>
      </rPr>
      <t xml:space="preserve">Department </t>
    </r>
    <r>
      <rPr>
        <sz val="11"/>
        <color theme="1"/>
        <rFont val="Aptos Narrow"/>
        <family val="2"/>
        <scheme val="minor"/>
      </rPr>
      <t>of Employee ID = E103. Also explain which LOOKUP function is used and why?</t>
    </r>
  </si>
  <si>
    <r>
      <rPr>
        <b/>
        <sz val="11"/>
        <color theme="1"/>
        <rFont val="Aptos Narrow"/>
        <family val="2"/>
        <scheme val="minor"/>
      </rPr>
      <t xml:space="preserve"> Q5</t>
    </r>
    <r>
      <rPr>
        <sz val="11"/>
        <color theme="1"/>
        <rFont val="Aptos Narrow"/>
        <family val="2"/>
        <scheme val="minor"/>
      </rPr>
      <t>. A company has set the following commission structure for its sales team:</t>
    </r>
  </si>
  <si>
    <r>
      <rPr>
        <b/>
        <sz val="11"/>
        <color theme="1"/>
        <rFont val="Aptos Narrow"/>
        <family val="2"/>
        <scheme val="minor"/>
      </rPr>
      <t xml:space="preserve"> Q6</t>
    </r>
    <r>
      <rPr>
        <sz val="11"/>
        <color theme="1"/>
        <rFont val="Aptos Narrow"/>
        <family val="2"/>
        <scheme val="minor"/>
      </rPr>
      <t xml:space="preserve">. The HR department maintains the following leave records of employees:onus or not.
Write an </t>
    </r>
    <r>
      <rPr>
        <b/>
        <sz val="11"/>
        <color theme="1"/>
        <rFont val="Aptos Narrow"/>
        <family val="2"/>
        <scheme val="minor"/>
      </rPr>
      <t>IF function</t>
    </r>
    <r>
      <rPr>
        <sz val="11"/>
        <color theme="1"/>
        <rFont val="Aptos Narrow"/>
        <family val="2"/>
        <scheme val="minor"/>
      </rPr>
      <t xml:space="preserve"> to check whether an employee has</t>
    </r>
    <r>
      <rPr>
        <b/>
        <sz val="11"/>
        <color theme="1"/>
        <rFont val="Aptos Narrow"/>
        <family val="2"/>
        <scheme val="minor"/>
      </rPr>
      <t xml:space="preserve"> Exceeded</t>
    </r>
    <r>
      <rPr>
        <sz val="11"/>
        <color theme="1"/>
        <rFont val="Aptos Narrow"/>
        <family val="2"/>
        <scheme val="minor"/>
      </rPr>
      <t xml:space="preserve"> their allowed leave balance.
 If Leaves Taken &gt; Allowed Leaves, display </t>
    </r>
    <r>
      <rPr>
        <b/>
        <sz val="11"/>
        <color rgb="FFC00000"/>
        <rFont val="Aptos Narrow"/>
        <family val="2"/>
        <scheme val="minor"/>
      </rPr>
      <t>"Exceeded"</t>
    </r>
    <r>
      <rPr>
        <b/>
        <sz val="11"/>
        <color theme="1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 xml:space="preserve">
 Otherwise, display</t>
    </r>
    <r>
      <rPr>
        <sz val="11"/>
        <color theme="6"/>
        <rFont val="Aptos Narrow"/>
        <family val="2"/>
        <scheme val="minor"/>
      </rPr>
      <t xml:space="preserve"> "</t>
    </r>
    <r>
      <rPr>
        <b/>
        <sz val="11"/>
        <color theme="6"/>
        <rFont val="Aptos Narrow"/>
        <family val="2"/>
        <scheme val="minor"/>
      </rPr>
      <t>OK"</t>
    </r>
    <r>
      <rPr>
        <b/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</si>
  <si>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Q7.</t>
    </r>
    <r>
      <rPr>
        <sz val="11"/>
        <color theme="1"/>
        <rFont val="Aptos Narrow"/>
        <family val="2"/>
        <scheme val="minor"/>
      </rPr>
      <t xml:space="preserve">  Find the salary of EmpID = E105 using INDEX-MATCH Function.</t>
    </r>
  </si>
  <si>
    <r>
      <rPr>
        <b/>
        <sz val="11"/>
        <color theme="1"/>
        <rFont val="Aptos Narrow"/>
        <family val="2"/>
        <scheme val="minor"/>
      </rPr>
      <t>Q8</t>
    </r>
    <r>
      <rPr>
        <sz val="11"/>
        <color theme="1"/>
        <rFont val="Aptos Narrow"/>
        <family val="2"/>
        <scheme val="minor"/>
      </rPr>
      <t xml:space="preserve">. Use the </t>
    </r>
    <r>
      <rPr>
        <b/>
        <sz val="11"/>
        <color theme="1"/>
        <rFont val="Aptos Narrow"/>
        <family val="2"/>
        <scheme val="minor"/>
      </rPr>
      <t>XLOOKUP function</t>
    </r>
    <r>
      <rPr>
        <sz val="11"/>
        <color theme="1"/>
        <rFont val="Aptos Narrow"/>
        <family val="2"/>
        <scheme val="minor"/>
      </rPr>
      <t xml:space="preserve"> to find the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of the employee with </t>
    </r>
    <r>
      <rPr>
        <b/>
        <sz val="11"/>
        <color theme="1"/>
        <rFont val="Aptos Narrow"/>
        <family val="2"/>
        <scheme val="minor"/>
      </rPr>
      <t>Emp ID = E303.</t>
    </r>
  </si>
  <si>
    <r>
      <rPr>
        <b/>
        <sz val="11"/>
        <color theme="1"/>
        <rFont val="Aptos Narrow"/>
        <family val="2"/>
        <scheme val="minor"/>
      </rPr>
      <t>LOOKUP Function Used:</t>
    </r>
    <r>
      <rPr>
        <sz val="11"/>
        <color theme="1"/>
        <rFont val="Aptos Narrow"/>
        <family val="2"/>
        <scheme val="minor"/>
      </rPr>
      <t xml:space="preserve"> VLOOKUP (Vertical Lookup).  
</t>
    </r>
    <r>
      <rPr>
        <b/>
        <sz val="11"/>
        <color theme="1"/>
        <rFont val="Aptos Narrow"/>
        <family val="2"/>
        <scheme val="minor"/>
      </rPr>
      <t xml:space="preserve">
​Explaination:</t>
    </r>
    <r>
      <rPr>
        <sz val="11"/>
        <color theme="1"/>
        <rFont val="Aptos Narrow"/>
        <family val="2"/>
        <scheme val="minor"/>
      </rPr>
      <t xml:space="preserve"> VLOOKUP is appropriate because the lookup value ("E103") is in the leftmost column (Column B) of the table array, and the result we want (Department) is in a column to the right (Column D). We use FALSE for an exact match.</t>
    </r>
  </si>
  <si>
    <r>
      <rPr>
        <b/>
        <sz val="11"/>
        <color theme="1"/>
        <rFont val="Aptos Narrow"/>
        <family val="2"/>
        <scheme val="minor"/>
      </rPr>
      <t xml:space="preserve">Answer  </t>
    </r>
    <r>
      <rPr>
        <b/>
        <sz val="11"/>
        <color theme="1"/>
        <rFont val="Aptos Narrow"/>
        <family val="2"/>
      </rPr>
      <t>→</t>
    </r>
  </si>
  <si>
    <r>
      <rPr>
        <b/>
        <sz val="11"/>
        <color theme="1"/>
        <rFont val="Aptos Narrow"/>
        <family val="2"/>
        <scheme val="minor"/>
      </rPr>
      <t>Q2.</t>
    </r>
    <r>
      <rPr>
        <sz val="11"/>
        <color theme="1"/>
        <rFont val="Aptos Narrow"/>
        <family val="2"/>
        <scheme val="minor"/>
      </rPr>
      <t xml:space="preserve">  A company gives a bonus  if sales are above 40,000 and attendance is greater than or equal to 90%.Write a formula to calculate whether the employee will get a bonus or not.</t>
    </r>
  </si>
  <si>
    <t>Logical Functions &amp; Lookup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</si>
</sst>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1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2" fillId="8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9" fillId="0" borderId="4" xfId="0" applyFont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/>
    </xf>
    <xf numFmtId="9" fontId="2" fillId="8" borderId="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E48B-5B57-4B48-A704-52C54234DF9C}">
  <sheetPr>
    <tabColor theme="4" tint="0.59999389629810485"/>
  </sheetPr>
  <dimension ref="A1:H96"/>
  <sheetViews>
    <sheetView tabSelected="1" workbookViewId="0">
      <selection activeCell="E6" sqref="E6"/>
    </sheetView>
  </sheetViews>
  <sheetFormatPr defaultRowHeight="14.5" x14ac:dyDescent="0.35"/>
  <cols>
    <col min="1" max="1" width="14.36328125" bestFit="1" customWidth="1"/>
    <col min="2" max="2" width="19.26953125" bestFit="1" customWidth="1"/>
    <col min="3" max="3" width="15.6328125" bestFit="1" customWidth="1"/>
    <col min="4" max="4" width="16.81640625" bestFit="1" customWidth="1"/>
    <col min="5" max="5" width="10.81640625" bestFit="1" customWidth="1"/>
    <col min="6" max="6" width="7.26953125" bestFit="1" customWidth="1"/>
  </cols>
  <sheetData>
    <row r="1" spans="1:8" ht="17" x14ac:dyDescent="0.5">
      <c r="A1" s="29" t="s">
        <v>62</v>
      </c>
      <c r="B1" s="1"/>
      <c r="C1" s="1"/>
      <c r="D1" s="1"/>
      <c r="E1" s="1"/>
      <c r="F1" s="1"/>
    </row>
    <row r="2" spans="1:8" x14ac:dyDescent="0.35">
      <c r="B2" s="6"/>
      <c r="C2" s="7"/>
      <c r="D2" s="7"/>
      <c r="E2" s="7"/>
      <c r="F2" s="7"/>
      <c r="G2" s="7"/>
      <c r="H2" s="7"/>
    </row>
    <row r="3" spans="1:8" x14ac:dyDescent="0.35">
      <c r="A3" s="5" t="s">
        <v>52</v>
      </c>
      <c r="B3" s="5"/>
      <c r="C3" s="5"/>
      <c r="D3" s="5"/>
      <c r="E3" s="5"/>
      <c r="F3" s="5"/>
      <c r="G3" s="5"/>
      <c r="H3" s="5"/>
    </row>
    <row r="4" spans="1:8" x14ac:dyDescent="0.35">
      <c r="A4" s="5"/>
      <c r="B4" s="5"/>
      <c r="C4" s="5"/>
      <c r="D4" s="5"/>
      <c r="E4" s="5"/>
      <c r="F4" s="5"/>
      <c r="G4" s="5"/>
      <c r="H4" s="5"/>
    </row>
    <row r="5" spans="1:8" x14ac:dyDescent="0.35">
      <c r="B5" s="7"/>
      <c r="C5" s="7"/>
      <c r="D5" s="7"/>
      <c r="E5" s="7"/>
      <c r="F5" s="7"/>
      <c r="G5" s="7"/>
      <c r="H5" s="7"/>
    </row>
    <row r="6" spans="1:8" x14ac:dyDescent="0.35">
      <c r="A6" s="17" t="s">
        <v>0</v>
      </c>
      <c r="B6" s="17" t="s">
        <v>1</v>
      </c>
      <c r="C6" s="17" t="s">
        <v>7</v>
      </c>
      <c r="E6" s="7"/>
      <c r="F6" s="7"/>
      <c r="G6" s="7"/>
      <c r="H6" s="7"/>
    </row>
    <row r="7" spans="1:8" x14ac:dyDescent="0.35">
      <c r="A7" s="11" t="s">
        <v>2</v>
      </c>
      <c r="B7" s="11">
        <v>45</v>
      </c>
      <c r="C7" s="12" t="str">
        <f>IF(B7&gt;=40,"Pass","Fail")</f>
        <v>Pass</v>
      </c>
    </row>
    <row r="8" spans="1:8" x14ac:dyDescent="0.35">
      <c r="A8" s="10" t="s">
        <v>3</v>
      </c>
      <c r="B8" s="10">
        <v>72</v>
      </c>
      <c r="C8" s="12" t="str">
        <f>IF(B8&gt;=40,"Pass","Fail")</f>
        <v>Pass</v>
      </c>
    </row>
    <row r="9" spans="1:8" x14ac:dyDescent="0.35">
      <c r="A9" s="10" t="s">
        <v>4</v>
      </c>
      <c r="B9" s="10">
        <v>55</v>
      </c>
      <c r="C9" s="12" t="str">
        <f>IF(B9&gt;=40,"Pass","Fail")</f>
        <v>Pass</v>
      </c>
    </row>
    <row r="10" spans="1:8" x14ac:dyDescent="0.35">
      <c r="A10" s="10" t="s">
        <v>5</v>
      </c>
      <c r="B10" s="10">
        <v>80</v>
      </c>
      <c r="C10" s="12" t="str">
        <f>IF(B10&gt;=40,"Pass","Fail")</f>
        <v>Pass</v>
      </c>
    </row>
    <row r="11" spans="1:8" x14ac:dyDescent="0.35">
      <c r="A11" s="10" t="s">
        <v>6</v>
      </c>
      <c r="B11" s="10">
        <v>30</v>
      </c>
      <c r="C11" s="13" t="str">
        <f>IF(B11&gt;=40,"Pass","Fail")</f>
        <v>Fail</v>
      </c>
    </row>
    <row r="14" spans="1:8" x14ac:dyDescent="0.35">
      <c r="A14" s="4" t="s">
        <v>61</v>
      </c>
      <c r="B14" s="4"/>
      <c r="C14" s="4"/>
      <c r="D14" s="4"/>
      <c r="E14" s="4"/>
      <c r="F14" s="4"/>
      <c r="G14" s="7"/>
      <c r="H14" s="7"/>
    </row>
    <row r="15" spans="1:8" x14ac:dyDescent="0.35">
      <c r="A15" s="4"/>
      <c r="B15" s="4"/>
      <c r="C15" s="4"/>
      <c r="D15" s="4"/>
      <c r="E15" s="4"/>
      <c r="F15" s="4"/>
      <c r="G15" s="7"/>
      <c r="H15" s="7"/>
    </row>
    <row r="17" spans="1:8" x14ac:dyDescent="0.35">
      <c r="A17" s="30" t="s">
        <v>8</v>
      </c>
      <c r="B17" s="30" t="s">
        <v>9</v>
      </c>
      <c r="C17" s="30" t="s">
        <v>10</v>
      </c>
      <c r="D17" s="30" t="s">
        <v>15</v>
      </c>
    </row>
    <row r="18" spans="1:8" x14ac:dyDescent="0.35">
      <c r="A18" s="10" t="s">
        <v>11</v>
      </c>
      <c r="B18" s="10">
        <v>55000</v>
      </c>
      <c r="C18" s="10">
        <v>95</v>
      </c>
      <c r="D18" s="12" t="str">
        <f>IF(AND(B18&gt;40000, C18&gt;90), "Qualified", "Not Qualified")</f>
        <v>Qualified</v>
      </c>
    </row>
    <row r="19" spans="1:8" x14ac:dyDescent="0.35">
      <c r="A19" s="10" t="s">
        <v>12</v>
      </c>
      <c r="B19" s="10">
        <v>65000</v>
      </c>
      <c r="C19" s="10">
        <v>85</v>
      </c>
      <c r="D19" s="13" t="str">
        <f t="shared" ref="D19:D21" si="0">IF(AND(B19&gt;40000, C19&gt;90), "Qualified", "Not Qualified")</f>
        <v>Not Qualified</v>
      </c>
    </row>
    <row r="20" spans="1:8" x14ac:dyDescent="0.35">
      <c r="A20" s="10" t="s">
        <v>13</v>
      </c>
      <c r="B20" s="10">
        <v>30000</v>
      </c>
      <c r="C20" s="10">
        <v>90</v>
      </c>
      <c r="D20" s="13" t="str">
        <f t="shared" si="0"/>
        <v>Not Qualified</v>
      </c>
    </row>
    <row r="21" spans="1:8" x14ac:dyDescent="0.35">
      <c r="A21" s="10" t="s">
        <v>14</v>
      </c>
      <c r="B21" s="10">
        <v>25000</v>
      </c>
      <c r="C21" s="10">
        <v>65</v>
      </c>
      <c r="D21" s="13" t="str">
        <f t="shared" si="0"/>
        <v>Not Qualified</v>
      </c>
    </row>
    <row r="23" spans="1:8" x14ac:dyDescent="0.35">
      <c r="A23" s="2" t="s">
        <v>53</v>
      </c>
      <c r="B23" s="3"/>
      <c r="C23" s="3"/>
      <c r="D23" s="3"/>
      <c r="E23" s="3"/>
      <c r="F23" s="3"/>
      <c r="G23" s="3"/>
      <c r="H23" s="3"/>
    </row>
    <row r="24" spans="1:8" x14ac:dyDescent="0.35">
      <c r="A24" s="3"/>
      <c r="B24" s="3"/>
      <c r="C24" s="3"/>
      <c r="D24" s="3"/>
      <c r="E24" s="3"/>
      <c r="F24" s="3"/>
      <c r="G24" s="3"/>
      <c r="H24" s="3"/>
    </row>
    <row r="27" spans="1:8" x14ac:dyDescent="0.35">
      <c r="A27" s="16" t="s">
        <v>0</v>
      </c>
      <c r="B27" s="16" t="s">
        <v>1</v>
      </c>
      <c r="C27" s="16" t="s">
        <v>7</v>
      </c>
    </row>
    <row r="28" spans="1:8" x14ac:dyDescent="0.35">
      <c r="A28" s="10" t="s">
        <v>16</v>
      </c>
      <c r="B28" s="10">
        <v>85</v>
      </c>
      <c r="C28" s="10" t="str">
        <f>IF(B28&gt;=90, "A", IF(B28&gt;=75, "B", IF(B28&gt;=50, "C", "Fail")))</f>
        <v>B</v>
      </c>
    </row>
    <row r="29" spans="1:8" x14ac:dyDescent="0.35">
      <c r="A29" s="10" t="s">
        <v>17</v>
      </c>
      <c r="B29" s="10">
        <v>96</v>
      </c>
      <c r="C29" s="10" t="str">
        <f t="shared" ref="C29:C32" si="1">IF(B29&gt;=90, "A", IF(B29&gt;=75, "B", IF(B29&gt;=50, "C", "Fail")))</f>
        <v>A</v>
      </c>
    </row>
    <row r="30" spans="1:8" x14ac:dyDescent="0.35">
      <c r="A30" s="10" t="s">
        <v>18</v>
      </c>
      <c r="B30" s="10">
        <v>57</v>
      </c>
      <c r="C30" s="10" t="str">
        <f>IF(B30&gt;=90, "A", IF(B30&gt;=75, "B", IF(B30&gt;=50, "C", "Fail")))</f>
        <v>C</v>
      </c>
    </row>
    <row r="31" spans="1:8" x14ac:dyDescent="0.35">
      <c r="A31" s="10" t="s">
        <v>19</v>
      </c>
      <c r="B31" s="10">
        <v>92</v>
      </c>
      <c r="C31" s="10" t="str">
        <f t="shared" si="1"/>
        <v>A</v>
      </c>
    </row>
    <row r="32" spans="1:8" x14ac:dyDescent="0.35">
      <c r="A32" s="10" t="s">
        <v>20</v>
      </c>
      <c r="B32" s="10">
        <v>75</v>
      </c>
      <c r="C32" s="10" t="str">
        <f t="shared" si="1"/>
        <v>B</v>
      </c>
    </row>
    <row r="35" spans="1:8" x14ac:dyDescent="0.35">
      <c r="A35" s="3" t="s">
        <v>54</v>
      </c>
      <c r="B35" s="3"/>
      <c r="C35" s="3"/>
      <c r="D35" s="3"/>
      <c r="E35" s="3"/>
      <c r="F35" s="3"/>
      <c r="G35" s="3"/>
      <c r="H35" s="3"/>
    </row>
    <row r="37" spans="1:8" x14ac:dyDescent="0.35">
      <c r="A37" s="15" t="s">
        <v>21</v>
      </c>
      <c r="B37" s="15" t="s">
        <v>22</v>
      </c>
      <c r="C37" s="15" t="s">
        <v>23</v>
      </c>
      <c r="D37" s="28" t="s">
        <v>60</v>
      </c>
      <c r="E37" s="15" t="s">
        <v>21</v>
      </c>
      <c r="F37" s="14" t="s">
        <v>31</v>
      </c>
    </row>
    <row r="38" spans="1:8" x14ac:dyDescent="0.35">
      <c r="A38" s="10" t="s">
        <v>29</v>
      </c>
      <c r="B38" s="10" t="s">
        <v>4</v>
      </c>
      <c r="C38" s="10" t="s">
        <v>24</v>
      </c>
      <c r="D38" s="18"/>
      <c r="E38" s="15" t="s">
        <v>23</v>
      </c>
      <c r="F38" s="12" t="str">
        <f>VLOOKUP(F37, A37:C41, 3, FALSE)</f>
        <v>Finance</v>
      </c>
    </row>
    <row r="39" spans="1:8" x14ac:dyDescent="0.35">
      <c r="A39" s="10" t="s">
        <v>30</v>
      </c>
      <c r="B39" s="10" t="s">
        <v>2</v>
      </c>
      <c r="C39" s="10" t="s">
        <v>25</v>
      </c>
      <c r="D39" s="8"/>
      <c r="E39" s="8"/>
      <c r="F39" s="8"/>
    </row>
    <row r="40" spans="1:8" x14ac:dyDescent="0.35">
      <c r="A40" s="10" t="s">
        <v>31</v>
      </c>
      <c r="B40" s="10" t="s">
        <v>27</v>
      </c>
      <c r="C40" s="10" t="s">
        <v>26</v>
      </c>
      <c r="D40" s="8"/>
      <c r="E40" s="8"/>
      <c r="F40" s="8"/>
    </row>
    <row r="41" spans="1:8" x14ac:dyDescent="0.35">
      <c r="A41" s="10" t="s">
        <v>32</v>
      </c>
      <c r="B41" s="10" t="s">
        <v>28</v>
      </c>
      <c r="C41" s="10" t="s">
        <v>9</v>
      </c>
      <c r="D41" s="8"/>
      <c r="E41" s="8"/>
      <c r="F41" s="8"/>
    </row>
    <row r="43" spans="1:8" x14ac:dyDescent="0.35">
      <c r="A43" s="4" t="s">
        <v>59</v>
      </c>
      <c r="B43" s="4"/>
      <c r="C43" s="4"/>
      <c r="D43" s="4"/>
      <c r="E43" s="4"/>
      <c r="F43" s="4"/>
      <c r="G43" s="7"/>
      <c r="H43" s="7"/>
    </row>
    <row r="44" spans="1:8" x14ac:dyDescent="0.35">
      <c r="A44" s="4"/>
      <c r="B44" s="4"/>
      <c r="C44" s="4"/>
      <c r="D44" s="4"/>
      <c r="E44" s="4"/>
      <c r="F44" s="4"/>
      <c r="G44" s="7"/>
      <c r="H44" s="7"/>
    </row>
    <row r="45" spans="1:8" x14ac:dyDescent="0.35">
      <c r="A45" s="4"/>
      <c r="B45" s="4"/>
      <c r="C45" s="4"/>
      <c r="D45" s="4"/>
      <c r="E45" s="4"/>
      <c r="F45" s="4"/>
      <c r="G45" s="7"/>
      <c r="H45" s="7"/>
    </row>
    <row r="46" spans="1:8" x14ac:dyDescent="0.35">
      <c r="A46" s="4"/>
      <c r="B46" s="4"/>
      <c r="C46" s="4"/>
      <c r="D46" s="4"/>
      <c r="E46" s="4"/>
      <c r="F46" s="4"/>
      <c r="G46" s="7"/>
      <c r="H46" s="7"/>
    </row>
    <row r="47" spans="1:8" x14ac:dyDescent="0.35">
      <c r="A47" s="4"/>
      <c r="B47" s="4"/>
      <c r="C47" s="4"/>
      <c r="D47" s="4"/>
      <c r="E47" s="4"/>
      <c r="F47" s="4"/>
      <c r="G47" s="7"/>
      <c r="H47" s="7"/>
    </row>
    <row r="49" spans="1:8" x14ac:dyDescent="0.35">
      <c r="A49" s="3" t="s">
        <v>55</v>
      </c>
      <c r="B49" s="3"/>
      <c r="C49" s="3"/>
      <c r="D49" s="3"/>
      <c r="E49" s="3"/>
      <c r="F49" s="3"/>
      <c r="G49" s="3"/>
      <c r="H49" s="3"/>
    </row>
    <row r="51" spans="1:8" x14ac:dyDescent="0.35">
      <c r="B51" s="20" t="s">
        <v>33</v>
      </c>
      <c r="C51" s="27" t="s">
        <v>34</v>
      </c>
    </row>
    <row r="52" spans="1:8" x14ac:dyDescent="0.35">
      <c r="B52" s="9">
        <v>0</v>
      </c>
      <c r="C52" s="21">
        <v>0.05</v>
      </c>
    </row>
    <row r="53" spans="1:8" x14ac:dyDescent="0.35">
      <c r="B53" s="9">
        <v>20000</v>
      </c>
      <c r="C53" s="21">
        <v>0.1</v>
      </c>
    </row>
    <row r="54" spans="1:8" x14ac:dyDescent="0.35">
      <c r="B54" s="9">
        <v>50000</v>
      </c>
      <c r="C54" s="21">
        <v>0.15</v>
      </c>
    </row>
    <row r="55" spans="1:8" x14ac:dyDescent="0.35">
      <c r="B55" s="9">
        <v>80000</v>
      </c>
      <c r="C55" s="21">
        <v>0.2</v>
      </c>
    </row>
    <row r="57" spans="1:8" x14ac:dyDescent="0.35">
      <c r="A57" s="4" t="s">
        <v>50</v>
      </c>
      <c r="B57" s="5"/>
      <c r="C57" s="5"/>
      <c r="D57" s="5"/>
      <c r="E57" s="5"/>
      <c r="F57" s="5"/>
      <c r="G57" s="5"/>
      <c r="H57" s="5"/>
    </row>
    <row r="58" spans="1:8" x14ac:dyDescent="0.35">
      <c r="A58" s="5"/>
      <c r="B58" s="5"/>
      <c r="C58" s="5"/>
      <c r="D58" s="5"/>
      <c r="E58" s="5"/>
      <c r="F58" s="5"/>
      <c r="G58" s="5"/>
      <c r="H58" s="5"/>
    </row>
    <row r="60" spans="1:8" x14ac:dyDescent="0.35">
      <c r="A60" s="19" t="s">
        <v>49</v>
      </c>
    </row>
    <row r="62" spans="1:8" x14ac:dyDescent="0.35">
      <c r="B62" s="20" t="s">
        <v>33</v>
      </c>
      <c r="C62" s="9">
        <v>45000</v>
      </c>
    </row>
    <row r="63" spans="1:8" x14ac:dyDescent="0.35">
      <c r="B63" s="20" t="s">
        <v>47</v>
      </c>
      <c r="C63" s="21">
        <f>VLOOKUP(C62, B51:C55, 2, TRUE)</f>
        <v>0.1</v>
      </c>
    </row>
    <row r="66" spans="1:8" x14ac:dyDescent="0.35">
      <c r="A66" s="4" t="s">
        <v>56</v>
      </c>
      <c r="B66" s="5"/>
      <c r="C66" s="5"/>
      <c r="D66" s="5"/>
      <c r="E66" s="5"/>
      <c r="F66" s="5"/>
      <c r="G66" s="5"/>
      <c r="H66" s="5"/>
    </row>
    <row r="67" spans="1:8" x14ac:dyDescent="0.35">
      <c r="A67" s="5"/>
      <c r="B67" s="5"/>
      <c r="C67" s="5"/>
      <c r="D67" s="5"/>
      <c r="E67" s="5"/>
      <c r="F67" s="5"/>
      <c r="G67" s="5"/>
      <c r="H67" s="5"/>
    </row>
    <row r="68" spans="1:8" x14ac:dyDescent="0.35">
      <c r="A68" s="5"/>
      <c r="B68" s="5"/>
      <c r="C68" s="5"/>
      <c r="D68" s="5"/>
      <c r="E68" s="5"/>
      <c r="F68" s="5"/>
      <c r="G68" s="5"/>
      <c r="H68" s="5"/>
    </row>
    <row r="69" spans="1:8" x14ac:dyDescent="0.35">
      <c r="A69" s="5"/>
      <c r="B69" s="5"/>
      <c r="C69" s="5"/>
      <c r="D69" s="5"/>
      <c r="E69" s="5"/>
      <c r="F69" s="5"/>
      <c r="G69" s="5"/>
      <c r="H69" s="5"/>
    </row>
    <row r="71" spans="1:8" x14ac:dyDescent="0.35">
      <c r="A71" s="19" t="s">
        <v>49</v>
      </c>
    </row>
    <row r="72" spans="1:8" x14ac:dyDescent="0.35">
      <c r="A72" s="22" t="s">
        <v>35</v>
      </c>
      <c r="B72" s="22" t="s">
        <v>36</v>
      </c>
      <c r="C72" s="22" t="s">
        <v>37</v>
      </c>
      <c r="D72" s="22" t="s">
        <v>38</v>
      </c>
    </row>
    <row r="73" spans="1:8" x14ac:dyDescent="0.35">
      <c r="A73" s="9" t="s">
        <v>39</v>
      </c>
      <c r="B73" s="9">
        <v>10</v>
      </c>
      <c r="C73" s="9">
        <v>12</v>
      </c>
      <c r="D73" s="23" t="str">
        <f>IF(B73&lt;=C73,"Ok","Exceeded")</f>
        <v>Ok</v>
      </c>
    </row>
    <row r="74" spans="1:8" x14ac:dyDescent="0.35">
      <c r="A74" s="9" t="s">
        <v>40</v>
      </c>
      <c r="B74" s="9">
        <v>10</v>
      </c>
      <c r="C74" s="9">
        <v>15</v>
      </c>
      <c r="D74" s="23" t="str">
        <f>IF(B74&lt;=C74,"Ok","Exceeded")</f>
        <v>Ok</v>
      </c>
    </row>
    <row r="75" spans="1:8" x14ac:dyDescent="0.35">
      <c r="A75" s="9" t="s">
        <v>41</v>
      </c>
      <c r="B75" s="9">
        <v>8</v>
      </c>
      <c r="C75" s="9">
        <v>12</v>
      </c>
      <c r="D75" s="23" t="str">
        <f t="shared" ref="D74:D75" si="2">IF(B75&lt;=C75,"Ok","Exceeded")</f>
        <v>Ok</v>
      </c>
    </row>
    <row r="78" spans="1:8" x14ac:dyDescent="0.35">
      <c r="A78" s="5" t="s">
        <v>57</v>
      </c>
      <c r="B78" s="5"/>
      <c r="C78" s="5"/>
      <c r="D78" s="5"/>
      <c r="E78" s="5"/>
      <c r="F78" s="5"/>
      <c r="G78" s="5"/>
      <c r="H78" s="5"/>
    </row>
    <row r="81" spans="1:8" x14ac:dyDescent="0.35">
      <c r="A81" s="16" t="s">
        <v>21</v>
      </c>
      <c r="B81" s="16" t="s">
        <v>42</v>
      </c>
      <c r="C81" s="25" t="s">
        <v>51</v>
      </c>
    </row>
    <row r="82" spans="1:8" x14ac:dyDescent="0.35">
      <c r="A82" s="10" t="s">
        <v>32</v>
      </c>
      <c r="B82" s="10">
        <v>55000</v>
      </c>
      <c r="C82" s="24"/>
      <c r="D82" s="16" t="s">
        <v>21</v>
      </c>
      <c r="E82" s="10" t="s">
        <v>43</v>
      </c>
    </row>
    <row r="83" spans="1:8" x14ac:dyDescent="0.35">
      <c r="A83" s="10" t="s">
        <v>43</v>
      </c>
      <c r="B83" s="10">
        <v>72000</v>
      </c>
      <c r="C83" s="24"/>
      <c r="D83" s="16" t="s">
        <v>42</v>
      </c>
      <c r="E83" s="10">
        <f>INDEX(B81:B85, MATCH(E82, A81:A85, 0))</f>
        <v>72000</v>
      </c>
    </row>
    <row r="84" spans="1:8" x14ac:dyDescent="0.35">
      <c r="A84" s="10" t="s">
        <v>44</v>
      </c>
      <c r="B84" s="10">
        <v>62000</v>
      </c>
      <c r="C84" s="24"/>
    </row>
    <row r="85" spans="1:8" x14ac:dyDescent="0.35">
      <c r="A85" s="10" t="s">
        <v>30</v>
      </c>
      <c r="B85" s="10">
        <v>41000</v>
      </c>
      <c r="C85" s="24"/>
    </row>
    <row r="89" spans="1:8" x14ac:dyDescent="0.35">
      <c r="A89" s="5" t="s">
        <v>58</v>
      </c>
      <c r="B89" s="5"/>
      <c r="C89" s="5"/>
      <c r="D89" s="5"/>
      <c r="E89" s="5"/>
      <c r="F89" s="5"/>
      <c r="G89" s="5"/>
      <c r="H89" s="5"/>
    </row>
    <row r="90" spans="1:8" ht="14.5" customHeight="1" x14ac:dyDescent="0.35">
      <c r="B90" s="32"/>
      <c r="C90" s="31"/>
    </row>
    <row r="91" spans="1:8" x14ac:dyDescent="0.35">
      <c r="B91" s="32"/>
      <c r="C91" s="33"/>
    </row>
    <row r="92" spans="1:8" x14ac:dyDescent="0.35">
      <c r="A92" s="26" t="s">
        <v>21</v>
      </c>
      <c r="B92" s="34" t="s">
        <v>23</v>
      </c>
      <c r="C92" s="25" t="s">
        <v>51</v>
      </c>
    </row>
    <row r="93" spans="1:8" x14ac:dyDescent="0.35">
      <c r="A93" s="10" t="s">
        <v>29</v>
      </c>
      <c r="B93" s="35" t="s">
        <v>25</v>
      </c>
      <c r="C93" s="24"/>
      <c r="D93" s="26" t="s">
        <v>48</v>
      </c>
      <c r="E93" s="10" t="s">
        <v>45</v>
      </c>
    </row>
    <row r="94" spans="1:8" x14ac:dyDescent="0.35">
      <c r="A94" s="10" t="s">
        <v>45</v>
      </c>
      <c r="B94" s="35" t="s">
        <v>24</v>
      </c>
      <c r="C94" s="24"/>
      <c r="D94" s="26" t="s">
        <v>23</v>
      </c>
      <c r="E94" s="10" t="str">
        <f>_xlfn.XLOOKUP(E93, A92:A96, B92:B96)</f>
        <v>IT</v>
      </c>
    </row>
    <row r="95" spans="1:8" x14ac:dyDescent="0.35">
      <c r="A95" s="10" t="s">
        <v>44</v>
      </c>
      <c r="B95" s="35" t="s">
        <v>9</v>
      </c>
      <c r="C95" s="24"/>
    </row>
    <row r="96" spans="1:8" x14ac:dyDescent="0.35">
      <c r="A96" s="10" t="s">
        <v>46</v>
      </c>
      <c r="B96" s="35" t="s">
        <v>26</v>
      </c>
      <c r="C96" s="24"/>
    </row>
  </sheetData>
  <mergeCells count="14">
    <mergeCell ref="A1:F1"/>
    <mergeCell ref="C92:C96"/>
    <mergeCell ref="A78:H78"/>
    <mergeCell ref="C81:C85"/>
    <mergeCell ref="A89:H89"/>
    <mergeCell ref="A43:F47"/>
    <mergeCell ref="D37:D38"/>
    <mergeCell ref="A49:H49"/>
    <mergeCell ref="A57:H58"/>
    <mergeCell ref="A66:H69"/>
    <mergeCell ref="A3:H4"/>
    <mergeCell ref="A23:H24"/>
    <mergeCell ref="A35:H35"/>
    <mergeCell ref="A14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nomit bagaria</dc:creator>
  <cp:lastModifiedBy>nomit bagaria</cp:lastModifiedBy>
  <cp:lastPrinted>2025-11-07T10:19:29Z</cp:lastPrinted>
  <dcterms:created xsi:type="dcterms:W3CDTF">2025-11-07T06:56:22Z</dcterms:created>
  <dcterms:modified xsi:type="dcterms:W3CDTF">2025-11-07T10:23:27Z</dcterms:modified>
</cp:coreProperties>
</file>